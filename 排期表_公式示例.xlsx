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排期表" state="visible" r:id="rId4"/>
  </sheets>
  <calcPr calcId="171027" fullCalcOnLoad="1"/>
</workbook>
</file>

<file path=xl/sharedStrings.xml><?xml version="1.0" encoding="utf-8"?>
<sst xmlns="http://schemas.openxmlformats.org/spreadsheetml/2006/main" count="239" uniqueCount="81">
  <si>
    <t>序号</t>
  </si>
  <si>
    <t>任务名称</t>
  </si>
  <si>
    <t>任务类型</t>
  </si>
  <si>
    <t>开始时间</t>
  </si>
  <si>
    <t>完成时间</t>
  </si>
  <si>
    <t>工期</t>
  </si>
  <si>
    <t>完成情况</t>
  </si>
  <si>
    <t>前置任务</t>
  </si>
  <si>
    <t>备注</t>
  </si>
  <si>
    <t>M1 预研阶段</t>
  </si>
  <si>
    <t>阶段任务</t>
  </si>
  <si>
    <t>进行中</t>
  </si>
  <si>
    <t/>
  </si>
  <si>
    <t xml:space="preserve">  └ L1 预研</t>
  </si>
  <si>
    <t>普通任务</t>
  </si>
  <si>
    <t xml:space="preserve">  └ L2 详细需求</t>
  </si>
  <si>
    <t>未开始</t>
  </si>
  <si>
    <t>L1 预研</t>
  </si>
  <si>
    <t xml:space="preserve">  └ L3 立项筹备</t>
  </si>
  <si>
    <t>L2 详细需求</t>
  </si>
  <si>
    <t>M2 计划阶段</t>
  </si>
  <si>
    <t xml:space="preserve">  └ L4 概要设计</t>
  </si>
  <si>
    <t>L3 立项筹备</t>
  </si>
  <si>
    <t xml:space="preserve">  └ L5 开发计划</t>
  </si>
  <si>
    <t>L4 概要设计</t>
  </si>
  <si>
    <t>M3 研发测试阶段</t>
  </si>
  <si>
    <t xml:space="preserve">  └ L6 详细设计</t>
  </si>
  <si>
    <t xml:space="preserve">    └ 板卡详设</t>
  </si>
  <si>
    <t xml:space="preserve">      └ 主板原理图</t>
  </si>
  <si>
    <t>L5 开发计划</t>
  </si>
  <si>
    <t xml:space="preserve">      └ DCU板原理图</t>
  </si>
  <si>
    <t xml:space="preserve">      └ 交换板原理图</t>
  </si>
  <si>
    <t xml:space="preserve">      └ UBB底板原理图</t>
  </si>
  <si>
    <t xml:space="preserve">      └ DCU扣卡原理图</t>
  </si>
  <si>
    <t xml:space="preserve">      └ 外包Layout</t>
  </si>
  <si>
    <t>主板原理图、DCU板原理图、交换板原理图、UBB底板原理图、DCU扣卡原理图</t>
  </si>
  <si>
    <t xml:space="preserve">      └ 基材备料</t>
  </si>
  <si>
    <t xml:space="preserve">      └ BOM备料</t>
  </si>
  <si>
    <t xml:space="preserve">      └ PCB洗板</t>
  </si>
  <si>
    <t>外包Layout、基材备料</t>
  </si>
  <si>
    <t xml:space="preserve">      └ PCBA打板</t>
  </si>
  <si>
    <t>PCB洗板、BOM备料</t>
  </si>
  <si>
    <t xml:space="preserve">    └ 结构详设</t>
  </si>
  <si>
    <t xml:space="preserve">      └ 单宽机柜结构设计</t>
  </si>
  <si>
    <t xml:space="preserve">      └ 双宽管理机箱结构设计</t>
  </si>
  <si>
    <t xml:space="preserve">      └ 双宽机柜结构设计</t>
  </si>
  <si>
    <t xml:space="preserve">      └ 结构打样</t>
  </si>
  <si>
    <t>单宽机柜结构设计、双宽管理机箱结构设计、双宽机柜结构设计</t>
  </si>
  <si>
    <t xml:space="preserve">    └ 散热详设</t>
  </si>
  <si>
    <t xml:space="preserve">      └ 水冷散热设计</t>
  </si>
  <si>
    <t xml:space="preserve">      └ DCU散热设计</t>
  </si>
  <si>
    <t xml:space="preserve">      └ CPU散热设计</t>
  </si>
  <si>
    <t xml:space="preserve">      └ 散热打样</t>
  </si>
  <si>
    <t>水冷散热设计、DCU散热设计、CPU散热设计</t>
  </si>
  <si>
    <t xml:space="preserve">  └ L7 Power On</t>
  </si>
  <si>
    <t>PCBA打板</t>
  </si>
  <si>
    <t xml:space="preserve">  └ L9 DVT</t>
  </si>
  <si>
    <t xml:space="preserve">    └ 组装评审</t>
  </si>
  <si>
    <t>L7 Power On</t>
  </si>
  <si>
    <t xml:space="preserve">    └ 改版项测试</t>
  </si>
  <si>
    <t xml:space="preserve">    └ 非改版项测试</t>
  </si>
  <si>
    <t>改版项测试</t>
  </si>
  <si>
    <t xml:space="preserve">    └ Debug</t>
  </si>
  <si>
    <t>非改版项测试</t>
  </si>
  <si>
    <t xml:space="preserve">    └ 板卡改版</t>
  </si>
  <si>
    <t xml:space="preserve">      └ A02原理图改版</t>
  </si>
  <si>
    <t xml:space="preserve">      └ A02Layout</t>
  </si>
  <si>
    <t>A02原理图改版</t>
  </si>
  <si>
    <t xml:space="preserve">      └ A02洗板</t>
  </si>
  <si>
    <t>A02Layout</t>
  </si>
  <si>
    <t xml:space="preserve">      └ A02打板</t>
  </si>
  <si>
    <t>A02洗板</t>
  </si>
  <si>
    <t>SHB芯片供货</t>
  </si>
  <si>
    <t>节点任务</t>
  </si>
  <si>
    <t>M4 试制阶段</t>
  </si>
  <si>
    <t xml:space="preserve">  └ L12 批量测试</t>
  </si>
  <si>
    <t>Debug</t>
  </si>
  <si>
    <t xml:space="preserve">  └ 批量测试Debug</t>
  </si>
  <si>
    <t>L12 批量测试</t>
  </si>
  <si>
    <t xml:space="preserve">  └ 质量抽测＆质量评审</t>
  </si>
  <si>
    <t>批量测试Debug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</si>
</sst>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1" width="8" customWidth="1"/>
    <col min="2" max="2" width="30" customWidth="1"/>
    <col min="3" max="3" width="10" customWidth="1"/>
    <col min="4" max="5" width="14" customWidth="1"/>
    <col min="6" max="6" width="8" customWidth="1"/>
    <col min="7" max="7" width="12" customWidth="1"/>
    <col min="8" max="9" width="2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3" t="s">
        <v>9</v>
      </c>
      <c r="C2" s="3" t="s">
        <v>10</v>
      </c>
      <c r="D2" s="4">
        <f>=MIN(D3,D4,D5)</f>
        <v>46218</v>
      </c>
      <c r="E2" s="4">
        <f>=MAX(E3,E4,E5)</f>
        <v>46259</v>
      </c>
      <c r="F2" s="3">
        <v>42</v>
      </c>
      <c r="G2" s="3" t="s">
        <v>11</v>
      </c>
      <c r="H2" s="3" t="s">
        <v>12</v>
      </c>
      <c r="I2" s="3" t="s">
        <v>12</v>
      </c>
    </row>
    <row r="3" spans="1:9" x14ac:dyDescent="0.25">
      <c r="A3" s="3">
        <v>2</v>
      </c>
      <c r="B3" s="3" t="s">
        <v>13</v>
      </c>
      <c r="C3" s="3" t="s">
        <v>14</v>
      </c>
      <c r="D3" s="4">
        <v>46218</v>
      </c>
      <c r="E3" s="4">
        <f>=D3+F3-1</f>
        <v>46231</v>
      </c>
      <c r="F3" s="3">
        <v>14</v>
      </c>
      <c r="G3" s="3" t="s">
        <v>11</v>
      </c>
      <c r="H3" s="3" t="s">
        <v>12</v>
      </c>
      <c r="I3" s="3" t="s">
        <v>12</v>
      </c>
    </row>
    <row r="4" spans="1:9" x14ac:dyDescent="0.25">
      <c r="A4" s="3">
        <v>3</v>
      </c>
      <c r="B4" s="3" t="s">
        <v>15</v>
      </c>
      <c r="C4" s="3" t="s">
        <v>14</v>
      </c>
      <c r="D4" s="4">
        <f>=MAX(E3)+1</f>
        <v>46232</v>
      </c>
      <c r="E4" s="4">
        <f>=D4+F4-1</f>
        <v>46245</v>
      </c>
      <c r="F4" s="3">
        <v>14</v>
      </c>
      <c r="G4" s="3" t="s">
        <v>16</v>
      </c>
      <c r="H4" s="3" t="s">
        <v>17</v>
      </c>
      <c r="I4" s="3" t="s">
        <v>12</v>
      </c>
    </row>
    <row r="5" spans="1:9" x14ac:dyDescent="0.25">
      <c r="A5" s="3">
        <v>4</v>
      </c>
      <c r="B5" s="3" t="s">
        <v>18</v>
      </c>
      <c r="C5" s="3" t="s">
        <v>14</v>
      </c>
      <c r="D5" s="4">
        <f>=MAX(E4)+1</f>
        <v>46246</v>
      </c>
      <c r="E5" s="4">
        <f>=D5+F5-1</f>
        <v>46259</v>
      </c>
      <c r="F5" s="3">
        <v>14</v>
      </c>
      <c r="G5" s="3" t="s">
        <v>16</v>
      </c>
      <c r="H5" s="3" t="s">
        <v>19</v>
      </c>
      <c r="I5" s="3" t="s">
        <v>12</v>
      </c>
    </row>
    <row r="6" spans="1:9" x14ac:dyDescent="0.25">
      <c r="A6" s="3">
        <v>5</v>
      </c>
      <c r="B6" s="3" t="s">
        <v>20</v>
      </c>
      <c r="C6" s="3" t="s">
        <v>10</v>
      </c>
      <c r="D6" s="4">
        <f>=MIN(D7,D8)</f>
        <v>46260</v>
      </c>
      <c r="E6" s="4">
        <f>=MAX(E7,E8)</f>
        <v>46287</v>
      </c>
      <c r="F6" s="3">
        <v>28</v>
      </c>
      <c r="G6" s="3" t="s">
        <v>16</v>
      </c>
      <c r="H6" s="3" t="s">
        <v>12</v>
      </c>
      <c r="I6" s="3" t="s">
        <v>12</v>
      </c>
    </row>
    <row r="7" spans="1:9" x14ac:dyDescent="0.25">
      <c r="A7" s="3">
        <v>6</v>
      </c>
      <c r="B7" s="3" t="s">
        <v>21</v>
      </c>
      <c r="C7" s="3" t="s">
        <v>14</v>
      </c>
      <c r="D7" s="4">
        <f>=MAX(E5)+1</f>
        <v>46260</v>
      </c>
      <c r="E7" s="4">
        <f>=D7+F7-1</f>
        <v>46280</v>
      </c>
      <c r="F7" s="3">
        <v>21</v>
      </c>
      <c r="G7" s="3" t="s">
        <v>16</v>
      </c>
      <c r="H7" s="3" t="s">
        <v>22</v>
      </c>
      <c r="I7" s="3" t="s">
        <v>12</v>
      </c>
    </row>
    <row r="8" spans="1:9" x14ac:dyDescent="0.25">
      <c r="A8" s="3">
        <v>7</v>
      </c>
      <c r="B8" s="3" t="s">
        <v>23</v>
      </c>
      <c r="C8" s="3" t="s">
        <v>14</v>
      </c>
      <c r="D8" s="4">
        <f>=MAX(E7)+1</f>
        <v>46281</v>
      </c>
      <c r="E8" s="4">
        <f>=D8+F8-1</f>
        <v>46287</v>
      </c>
      <c r="F8" s="3">
        <v>7</v>
      </c>
      <c r="G8" s="3" t="s">
        <v>16</v>
      </c>
      <c r="H8" s="3" t="s">
        <v>24</v>
      </c>
      <c r="I8" s="3" t="s">
        <v>12</v>
      </c>
    </row>
    <row r="9" spans="1:9" x14ac:dyDescent="0.25">
      <c r="A9" s="3">
        <v>8</v>
      </c>
      <c r="B9" s="3" t="s">
        <v>25</v>
      </c>
      <c r="C9" s="3" t="s">
        <v>10</v>
      </c>
      <c r="D9" s="4">
        <f>=MIN(D32,D34,D35,D36,D37,D39,D40,D41,D42,D28,D29,D30,D31,D23,D24,D25,D26,D12,D13,D14,D15,D16,D17,D18,D19,D20,D21)</f>
        <v>46288</v>
      </c>
      <c r="E9" s="4">
        <f>=MAX(E32,E34,E35,E36,E37,E39,E40,E41,E42,E28,E29,E30,E31,E23,E24,E25,E26,E12,E13,E14,E15,E16,E17,E18,E19,E20,E21)</f>
        <v>46551</v>
      </c>
      <c r="F9" s="3">
        <v>264</v>
      </c>
      <c r="G9" s="3" t="s">
        <v>16</v>
      </c>
      <c r="H9" s="3" t="s">
        <v>12</v>
      </c>
      <c r="I9" s="3" t="s">
        <v>12</v>
      </c>
    </row>
    <row r="10" spans="1:9" x14ac:dyDescent="0.25">
      <c r="A10" s="3">
        <v>9</v>
      </c>
      <c r="B10" s="3" t="s">
        <v>26</v>
      </c>
      <c r="C10" s="3" t="s">
        <v>10</v>
      </c>
      <c r="D10" s="4">
        <f>=MIN(D28,D29,D30,D31,D23,D24,D25,D26,D12,D13,D14,D15,D16,D17,D18,D19,D20,D21)</f>
        <v>46288</v>
      </c>
      <c r="E10" s="4">
        <f>=MAX(E28,E29,E30,E31,E23,E24,E25,E26,E12,E13,E14,E15,E16,E17,E18,E19,E20,E21)</f>
        <v>46437</v>
      </c>
      <c r="F10" s="3">
        <v>150</v>
      </c>
      <c r="G10" s="3" t="s">
        <v>16</v>
      </c>
      <c r="H10" s="3" t="s">
        <v>12</v>
      </c>
      <c r="I10" s="3" t="s">
        <v>12</v>
      </c>
    </row>
    <row r="11" spans="1:9" x14ac:dyDescent="0.25">
      <c r="A11" s="3">
        <v>10</v>
      </c>
      <c r="B11" s="3" t="s">
        <v>27</v>
      </c>
      <c r="C11" s="3" t="s">
        <v>10</v>
      </c>
      <c r="D11" s="4">
        <f>=MIN(D12,D13,D14,D15,D16,D17,D18,D19,D20,D21)</f>
        <v>46288</v>
      </c>
      <c r="E11" s="4">
        <f>=MAX(E12,E13,E14,E15,E16,E17,E18,E19,E20,E21)</f>
        <v>46437</v>
      </c>
      <c r="F11" s="3">
        <v>150</v>
      </c>
      <c r="G11" s="3" t="s">
        <v>16</v>
      </c>
      <c r="H11" s="3" t="s">
        <v>12</v>
      </c>
      <c r="I11" s="3" t="s">
        <v>12</v>
      </c>
    </row>
    <row r="12" spans="1:9" x14ac:dyDescent="0.25">
      <c r="A12" s="3">
        <v>11</v>
      </c>
      <c r="B12" s="3" t="s">
        <v>28</v>
      </c>
      <c r="C12" s="3" t="s">
        <v>14</v>
      </c>
      <c r="D12" s="4">
        <f>=MAX(E8)+1</f>
        <v>46288</v>
      </c>
      <c r="E12" s="4">
        <f>=D12+F12-1</f>
        <v>46332</v>
      </c>
      <c r="F12" s="3">
        <v>45</v>
      </c>
      <c r="G12" s="3" t="s">
        <v>16</v>
      </c>
      <c r="H12" s="3" t="s">
        <v>29</v>
      </c>
      <c r="I12" s="3" t="s">
        <v>12</v>
      </c>
    </row>
    <row r="13" spans="1:9" x14ac:dyDescent="0.25">
      <c r="A13" s="3">
        <v>12</v>
      </c>
      <c r="B13" s="3" t="s">
        <v>30</v>
      </c>
      <c r="C13" s="3" t="s">
        <v>14</v>
      </c>
      <c r="D13" s="4">
        <f>=MAX(E8)+1</f>
        <v>46288</v>
      </c>
      <c r="E13" s="4">
        <f>=D13+F13-1</f>
        <v>46322</v>
      </c>
      <c r="F13" s="3">
        <v>35</v>
      </c>
      <c r="G13" s="3" t="s">
        <v>16</v>
      </c>
      <c r="H13" s="3" t="s">
        <v>29</v>
      </c>
      <c r="I13" s="3" t="s">
        <v>12</v>
      </c>
    </row>
    <row r="14" spans="1:9" x14ac:dyDescent="0.25">
      <c r="A14" s="3">
        <v>13</v>
      </c>
      <c r="B14" s="3" t="s">
        <v>31</v>
      </c>
      <c r="C14" s="3" t="s">
        <v>14</v>
      </c>
      <c r="D14" s="4">
        <f>=MAX(E8)+1</f>
        <v>46288</v>
      </c>
      <c r="E14" s="4">
        <f>=D14+F14-1</f>
        <v>46317</v>
      </c>
      <c r="F14" s="3">
        <v>30</v>
      </c>
      <c r="G14" s="3" t="s">
        <v>16</v>
      </c>
      <c r="H14" s="3" t="s">
        <v>29</v>
      </c>
      <c r="I14" s="3" t="s">
        <v>12</v>
      </c>
    </row>
    <row r="15" spans="1:9" x14ac:dyDescent="0.25">
      <c r="A15" s="3">
        <v>14</v>
      </c>
      <c r="B15" s="3" t="s">
        <v>32</v>
      </c>
      <c r="C15" s="3" t="s">
        <v>14</v>
      </c>
      <c r="D15" s="4">
        <f>=MAX(E8)+1</f>
        <v>46288</v>
      </c>
      <c r="E15" s="4">
        <f>=D15+F15-1</f>
        <v>46317</v>
      </c>
      <c r="F15" s="3">
        <v>30</v>
      </c>
      <c r="G15" s="3" t="s">
        <v>16</v>
      </c>
      <c r="H15" s="3" t="s">
        <v>29</v>
      </c>
      <c r="I15" s="3" t="s">
        <v>12</v>
      </c>
    </row>
    <row r="16" spans="1:9" x14ac:dyDescent="0.25">
      <c r="A16" s="3">
        <v>15</v>
      </c>
      <c r="B16" s="3" t="s">
        <v>33</v>
      </c>
      <c r="C16" s="3" t="s">
        <v>14</v>
      </c>
      <c r="D16" s="4">
        <f>=MAX(E8)+1</f>
        <v>46288</v>
      </c>
      <c r="E16" s="4">
        <f>=D16+F16-1</f>
        <v>46317</v>
      </c>
      <c r="F16" s="3">
        <v>30</v>
      </c>
      <c r="G16" s="3" t="s">
        <v>16</v>
      </c>
      <c r="H16" s="3" t="s">
        <v>29</v>
      </c>
      <c r="I16" s="3" t="s">
        <v>12</v>
      </c>
    </row>
    <row r="17" spans="1:9" x14ac:dyDescent="0.25">
      <c r="A17" s="3">
        <v>16</v>
      </c>
      <c r="B17" s="3" t="s">
        <v>34</v>
      </c>
      <c r="C17" s="3" t="s">
        <v>14</v>
      </c>
      <c r="D17" s="4">
        <f>=MAX(E12,E13,E14,E15,E16)+1</f>
        <v>46333</v>
      </c>
      <c r="E17" s="4">
        <f>=D17+F17-1</f>
        <v>46377</v>
      </c>
      <c r="F17" s="3">
        <v>45</v>
      </c>
      <c r="G17" s="3" t="s">
        <v>16</v>
      </c>
      <c r="H17" s="3" t="s">
        <v>35</v>
      </c>
      <c r="I17" s="3" t="s">
        <v>12</v>
      </c>
    </row>
    <row r="18" spans="1:9" x14ac:dyDescent="0.25">
      <c r="A18" s="3">
        <v>17</v>
      </c>
      <c r="B18" s="3" t="s">
        <v>36</v>
      </c>
      <c r="C18" s="3" t="s">
        <v>14</v>
      </c>
      <c r="D18" s="4">
        <f>=MAX(E8)+1</f>
        <v>46288</v>
      </c>
      <c r="E18" s="4">
        <f>=D18+F18-1</f>
        <v>46377</v>
      </c>
      <c r="F18" s="3">
        <v>90</v>
      </c>
      <c r="G18" s="3" t="s">
        <v>16</v>
      </c>
      <c r="H18" s="3" t="s">
        <v>29</v>
      </c>
      <c r="I18" s="3" t="s">
        <v>12</v>
      </c>
    </row>
    <row r="19" spans="1:9" x14ac:dyDescent="0.25">
      <c r="A19" s="3">
        <v>18</v>
      </c>
      <c r="B19" s="3" t="s">
        <v>37</v>
      </c>
      <c r="C19" s="3" t="s">
        <v>14</v>
      </c>
      <c r="D19" s="4">
        <f>=MAX(E12,E13,E14,E15,E16)+1</f>
        <v>46333</v>
      </c>
      <c r="E19" s="4">
        <f>=D19+F19-1</f>
        <v>46407</v>
      </c>
      <c r="F19" s="3">
        <v>75</v>
      </c>
      <c r="G19" s="3" t="s">
        <v>16</v>
      </c>
      <c r="H19" s="3" t="s">
        <v>35</v>
      </c>
      <c r="I19" s="3" t="s">
        <v>12</v>
      </c>
    </row>
    <row r="20" spans="1:9" x14ac:dyDescent="0.25">
      <c r="A20" s="3">
        <v>19</v>
      </c>
      <c r="B20" s="3" t="s">
        <v>38</v>
      </c>
      <c r="C20" s="3" t="s">
        <v>14</v>
      </c>
      <c r="D20" s="4">
        <f>=MAX(E17,E18)+1</f>
        <v>46378</v>
      </c>
      <c r="E20" s="4">
        <f>=D20+F20-1</f>
        <v>46417</v>
      </c>
      <c r="F20" s="3">
        <v>40</v>
      </c>
      <c r="G20" s="3" t="s">
        <v>16</v>
      </c>
      <c r="H20" s="3" t="s">
        <v>39</v>
      </c>
      <c r="I20" s="3" t="s">
        <v>12</v>
      </c>
    </row>
    <row r="21" spans="1:9" x14ac:dyDescent="0.25">
      <c r="A21" s="3">
        <v>20</v>
      </c>
      <c r="B21" s="3" t="s">
        <v>40</v>
      </c>
      <c r="C21" s="3" t="s">
        <v>14</v>
      </c>
      <c r="D21" s="4">
        <f>=MAX(E20,E19)+1</f>
        <v>46418</v>
      </c>
      <c r="E21" s="4">
        <f>=D21+F21-1</f>
        <v>46437</v>
      </c>
      <c r="F21" s="3">
        <v>20</v>
      </c>
      <c r="G21" s="3" t="s">
        <v>16</v>
      </c>
      <c r="H21" s="3" t="s">
        <v>41</v>
      </c>
      <c r="I21" s="3" t="s">
        <v>12</v>
      </c>
    </row>
    <row r="22" spans="1:9" x14ac:dyDescent="0.25">
      <c r="A22" s="3">
        <v>21</v>
      </c>
      <c r="B22" s="3" t="s">
        <v>42</v>
      </c>
      <c r="C22" s="3" t="s">
        <v>10</v>
      </c>
      <c r="D22" s="4">
        <f>=MIN(D23,D24,D25,D26)</f>
        <v>46288</v>
      </c>
      <c r="E22" s="4">
        <f>=MAX(E23,E24,E25,E26)</f>
        <v>46357</v>
      </c>
      <c r="F22" s="3">
        <v>70</v>
      </c>
      <c r="G22" s="3" t="s">
        <v>16</v>
      </c>
      <c r="H22" s="3" t="s">
        <v>12</v>
      </c>
      <c r="I22" s="3" t="s">
        <v>12</v>
      </c>
    </row>
    <row r="23" spans="1:9" x14ac:dyDescent="0.25">
      <c r="A23" s="3">
        <v>22</v>
      </c>
      <c r="B23" s="3" t="s">
        <v>43</v>
      </c>
      <c r="C23" s="3" t="s">
        <v>14</v>
      </c>
      <c r="D23" s="4">
        <f>=MAX(E8)+1</f>
        <v>46288</v>
      </c>
      <c r="E23" s="4">
        <f>=D23+F23-1</f>
        <v>46317</v>
      </c>
      <c r="F23" s="3">
        <v>30</v>
      </c>
      <c r="G23" s="3" t="s">
        <v>16</v>
      </c>
      <c r="H23" s="3" t="s">
        <v>29</v>
      </c>
      <c r="I23" s="3" t="s">
        <v>12</v>
      </c>
    </row>
    <row r="24" spans="1:9" x14ac:dyDescent="0.25">
      <c r="A24" s="3">
        <v>23</v>
      </c>
      <c r="B24" s="3" t="s">
        <v>44</v>
      </c>
      <c r="C24" s="3" t="s">
        <v>14</v>
      </c>
      <c r="D24" s="4">
        <f>=MAX(E8)+1</f>
        <v>46288</v>
      </c>
      <c r="E24" s="4">
        <f>=D24+F24-1</f>
        <v>46307</v>
      </c>
      <c r="F24" s="3">
        <v>20</v>
      </c>
      <c r="G24" s="3" t="s">
        <v>16</v>
      </c>
      <c r="H24" s="3" t="s">
        <v>29</v>
      </c>
      <c r="I24" s="3" t="s">
        <v>12</v>
      </c>
    </row>
    <row r="25" spans="1:9" x14ac:dyDescent="0.25">
      <c r="A25" s="3">
        <v>24</v>
      </c>
      <c r="B25" s="3" t="s">
        <v>45</v>
      </c>
      <c r="C25" s="3" t="s">
        <v>14</v>
      </c>
      <c r="D25" s="4">
        <f>=MAX(E8)+1</f>
        <v>46288</v>
      </c>
      <c r="E25" s="4">
        <f>=D25+F25-1</f>
        <v>46317</v>
      </c>
      <c r="F25" s="3">
        <v>30</v>
      </c>
      <c r="G25" s="3" t="s">
        <v>16</v>
      </c>
      <c r="H25" s="3" t="s">
        <v>29</v>
      </c>
      <c r="I25" s="3" t="s">
        <v>12</v>
      </c>
    </row>
    <row r="26" spans="1:9" x14ac:dyDescent="0.25">
      <c r="A26" s="3">
        <v>25</v>
      </c>
      <c r="B26" s="3" t="s">
        <v>46</v>
      </c>
      <c r="C26" s="3" t="s">
        <v>14</v>
      </c>
      <c r="D26" s="4">
        <f>=MAX(E23,E24,E25)+1</f>
        <v>46318</v>
      </c>
      <c r="E26" s="4">
        <f>=D26+F26-1</f>
        <v>46357</v>
      </c>
      <c r="F26" s="3">
        <v>40</v>
      </c>
      <c r="G26" s="3" t="s">
        <v>16</v>
      </c>
      <c r="H26" s="3" t="s">
        <v>47</v>
      </c>
      <c r="I26" s="3" t="s">
        <v>12</v>
      </c>
    </row>
    <row r="27" spans="1:9" x14ac:dyDescent="0.25">
      <c r="A27" s="3">
        <v>26</v>
      </c>
      <c r="B27" s="3" t="s">
        <v>48</v>
      </c>
      <c r="C27" s="3" t="s">
        <v>10</v>
      </c>
      <c r="D27" s="4">
        <f>=MIN(D28,D29,D30,D31)</f>
        <v>46288</v>
      </c>
      <c r="E27" s="4">
        <f>=MAX(E28,E29,E30,E31)</f>
        <v>46347</v>
      </c>
      <c r="F27" s="3">
        <v>60</v>
      </c>
      <c r="G27" s="3" t="s">
        <v>16</v>
      </c>
      <c r="H27" s="3" t="s">
        <v>12</v>
      </c>
      <c r="I27" s="3" t="s">
        <v>12</v>
      </c>
    </row>
    <row r="28" spans="1:9" x14ac:dyDescent="0.25">
      <c r="A28" s="3">
        <v>27</v>
      </c>
      <c r="B28" s="3" t="s">
        <v>49</v>
      </c>
      <c r="C28" s="3" t="s">
        <v>14</v>
      </c>
      <c r="D28" s="4">
        <f>=MAX(E8)+1</f>
        <v>46288</v>
      </c>
      <c r="E28" s="4">
        <f>=D28+F28-1</f>
        <v>46317</v>
      </c>
      <c r="F28" s="3">
        <v>30</v>
      </c>
      <c r="G28" s="3" t="s">
        <v>16</v>
      </c>
      <c r="H28" s="3" t="s">
        <v>29</v>
      </c>
      <c r="I28" s="3" t="s">
        <v>12</v>
      </c>
    </row>
    <row r="29" spans="1:9" x14ac:dyDescent="0.25">
      <c r="A29" s="3">
        <v>28</v>
      </c>
      <c r="B29" s="3" t="s">
        <v>50</v>
      </c>
      <c r="C29" s="3" t="s">
        <v>14</v>
      </c>
      <c r="D29" s="4">
        <f>=MAX(E8)+1</f>
        <v>46288</v>
      </c>
      <c r="E29" s="4">
        <f>=D29+F29-1</f>
        <v>46317</v>
      </c>
      <c r="F29" s="3">
        <v>30</v>
      </c>
      <c r="G29" s="3" t="s">
        <v>16</v>
      </c>
      <c r="H29" s="3" t="s">
        <v>29</v>
      </c>
      <c r="I29" s="3" t="s">
        <v>12</v>
      </c>
    </row>
    <row r="30" spans="1:9" x14ac:dyDescent="0.25">
      <c r="A30" s="3">
        <v>29</v>
      </c>
      <c r="B30" s="3" t="s">
        <v>51</v>
      </c>
      <c r="C30" s="3" t="s">
        <v>14</v>
      </c>
      <c r="D30" s="4">
        <f>=MAX(E8)+1</f>
        <v>46288</v>
      </c>
      <c r="E30" s="4">
        <f>=D30+F30-1</f>
        <v>46317</v>
      </c>
      <c r="F30" s="3">
        <v>30</v>
      </c>
      <c r="G30" s="3" t="s">
        <v>16</v>
      </c>
      <c r="H30" s="3" t="s">
        <v>29</v>
      </c>
      <c r="I30" s="3" t="s">
        <v>12</v>
      </c>
    </row>
    <row r="31" spans="1:9" x14ac:dyDescent="0.25">
      <c r="A31" s="3">
        <v>30</v>
      </c>
      <c r="B31" s="3" t="s">
        <v>52</v>
      </c>
      <c r="C31" s="3" t="s">
        <v>14</v>
      </c>
      <c r="D31" s="4">
        <f>=MAX(E28,E29,E30)+1</f>
        <v>46318</v>
      </c>
      <c r="E31" s="4">
        <f>=D31+F31-1</f>
        <v>46347</v>
      </c>
      <c r="F31" s="3">
        <v>30</v>
      </c>
      <c r="G31" s="3" t="s">
        <v>16</v>
      </c>
      <c r="H31" s="3" t="s">
        <v>53</v>
      </c>
      <c r="I31" s="3" t="s">
        <v>12</v>
      </c>
    </row>
    <row r="32" spans="1:9" x14ac:dyDescent="0.25">
      <c r="A32" s="3">
        <v>31</v>
      </c>
      <c r="B32" s="3" t="s">
        <v>54</v>
      </c>
      <c r="C32" s="3" t="s">
        <v>14</v>
      </c>
      <c r="D32" s="4">
        <f>=MAX(E21)+1</f>
        <v>46438</v>
      </c>
      <c r="E32" s="4">
        <f>=D32+F32-1</f>
        <v>46457</v>
      </c>
      <c r="F32" s="3">
        <v>20</v>
      </c>
      <c r="G32" s="3" t="s">
        <v>16</v>
      </c>
      <c r="H32" s="3" t="s">
        <v>55</v>
      </c>
      <c r="I32" s="3" t="s">
        <v>12</v>
      </c>
    </row>
    <row r="33" spans="1:9" x14ac:dyDescent="0.25">
      <c r="A33" s="3">
        <v>32</v>
      </c>
      <c r="B33" s="3" t="s">
        <v>56</v>
      </c>
      <c r="C33" s="3" t="s">
        <v>10</v>
      </c>
      <c r="D33" s="4">
        <f>=MIN(D34,D35,D36,D37,D39,D40,D41,D42)</f>
        <v>46458</v>
      </c>
      <c r="E33" s="4">
        <f>=MAX(E34,E35,E36,E37,E39,E40,E41,E42)</f>
        <v>46551</v>
      </c>
      <c r="F33" s="3">
        <v>94</v>
      </c>
      <c r="G33" s="3" t="s">
        <v>16</v>
      </c>
      <c r="H33" s="3" t="s">
        <v>12</v>
      </c>
      <c r="I33" s="3" t="s">
        <v>12</v>
      </c>
    </row>
    <row r="34" spans="1:9" x14ac:dyDescent="0.25">
      <c r="A34" s="3">
        <v>33</v>
      </c>
      <c r="B34" s="3" t="s">
        <v>57</v>
      </c>
      <c r="C34" s="3" t="s">
        <v>14</v>
      </c>
      <c r="D34" s="4">
        <f>=MAX(E32)+1</f>
        <v>46458</v>
      </c>
      <c r="E34" s="4">
        <f>=D34+F34-1</f>
        <v>46459</v>
      </c>
      <c r="F34" s="3">
        <v>2</v>
      </c>
      <c r="G34" s="3" t="s">
        <v>16</v>
      </c>
      <c r="H34" s="3" t="s">
        <v>58</v>
      </c>
      <c r="I34" s="3" t="s">
        <v>12</v>
      </c>
    </row>
    <row r="35" spans="1:9" x14ac:dyDescent="0.25">
      <c r="A35" s="3">
        <v>34</v>
      </c>
      <c r="B35" s="3" t="s">
        <v>59</v>
      </c>
      <c r="C35" s="3" t="s">
        <v>14</v>
      </c>
      <c r="D35" s="4">
        <f>=MAX(E32)+1</f>
        <v>46458</v>
      </c>
      <c r="E35" s="4">
        <f>=D35+F35-1</f>
        <v>46471</v>
      </c>
      <c r="F35" s="3">
        <v>14</v>
      </c>
      <c r="G35" s="3" t="s">
        <v>16</v>
      </c>
      <c r="H35" s="3" t="s">
        <v>58</v>
      </c>
      <c r="I35" s="3" t="s">
        <v>12</v>
      </c>
    </row>
    <row r="36" spans="1:9" x14ac:dyDescent="0.25">
      <c r="A36" s="3">
        <v>35</v>
      </c>
      <c r="B36" s="3" t="s">
        <v>60</v>
      </c>
      <c r="C36" s="3" t="s">
        <v>14</v>
      </c>
      <c r="D36" s="4">
        <f>=MAX(E35)+1</f>
        <v>46472</v>
      </c>
      <c r="E36" s="4">
        <f>=D36+F36-1</f>
        <v>46521</v>
      </c>
      <c r="F36" s="3">
        <v>50</v>
      </c>
      <c r="G36" s="3" t="s">
        <v>16</v>
      </c>
      <c r="H36" s="3" t="s">
        <v>61</v>
      </c>
      <c r="I36" s="3" t="s">
        <v>12</v>
      </c>
    </row>
    <row r="37" spans="1:9" x14ac:dyDescent="0.25">
      <c r="A37" s="3">
        <v>36</v>
      </c>
      <c r="B37" s="3" t="s">
        <v>62</v>
      </c>
      <c r="C37" s="3" t="s">
        <v>14</v>
      </c>
      <c r="D37" s="4">
        <f>=MAX(E36)+1</f>
        <v>46522</v>
      </c>
      <c r="E37" s="4">
        <f>=D37+F37-1</f>
        <v>46551</v>
      </c>
      <c r="F37" s="3">
        <v>30</v>
      </c>
      <c r="G37" s="3" t="s">
        <v>16</v>
      </c>
      <c r="H37" s="3" t="s">
        <v>63</v>
      </c>
      <c r="I37" s="3" t="s">
        <v>12</v>
      </c>
    </row>
    <row r="38" spans="1:9" x14ac:dyDescent="0.25">
      <c r="A38" s="3">
        <v>37</v>
      </c>
      <c r="B38" s="3" t="s">
        <v>64</v>
      </c>
      <c r="C38" s="3" t="s">
        <v>10</v>
      </c>
      <c r="D38" s="4">
        <f>=MIN(D39,D40,D41,D42)</f>
        <v>46472</v>
      </c>
      <c r="E38" s="4">
        <f>=MAX(E39,E40,E41,E42)</f>
        <v>46535</v>
      </c>
      <c r="F38" s="3">
        <v>64</v>
      </c>
      <c r="G38" s="3" t="s">
        <v>16</v>
      </c>
      <c r="H38" s="3" t="s">
        <v>12</v>
      </c>
      <c r="I38" s="3" t="s">
        <v>12</v>
      </c>
    </row>
    <row r="39" spans="1:9" x14ac:dyDescent="0.25">
      <c r="A39" s="3">
        <v>38</v>
      </c>
      <c r="B39" s="3" t="s">
        <v>65</v>
      </c>
      <c r="C39" s="3" t="s">
        <v>14</v>
      </c>
      <c r="D39" s="4">
        <f>=MAX(E35)+1</f>
        <v>46472</v>
      </c>
      <c r="E39" s="4">
        <f>=D39+F39-1</f>
        <v>46491</v>
      </c>
      <c r="F39" s="3">
        <v>20</v>
      </c>
      <c r="G39" s="3" t="s">
        <v>16</v>
      </c>
      <c r="H39" s="3" t="s">
        <v>61</v>
      </c>
      <c r="I39" s="3" t="s">
        <v>12</v>
      </c>
    </row>
    <row r="40" spans="1:9" x14ac:dyDescent="0.25">
      <c r="A40" s="3">
        <v>39</v>
      </c>
      <c r="B40" s="3" t="s">
        <v>66</v>
      </c>
      <c r="C40" s="3" t="s">
        <v>14</v>
      </c>
      <c r="D40" s="4">
        <f>=MAX(E39)+1</f>
        <v>46492</v>
      </c>
      <c r="E40" s="4">
        <f>=D40+F40-1</f>
        <v>46498</v>
      </c>
      <c r="F40" s="3">
        <v>7</v>
      </c>
      <c r="G40" s="3" t="s">
        <v>16</v>
      </c>
      <c r="H40" s="3" t="s">
        <v>67</v>
      </c>
      <c r="I40" s="3" t="s">
        <v>12</v>
      </c>
    </row>
    <row r="41" spans="1:9" x14ac:dyDescent="0.25">
      <c r="A41" s="3">
        <v>40</v>
      </c>
      <c r="B41" s="3" t="s">
        <v>68</v>
      </c>
      <c r="C41" s="3" t="s">
        <v>14</v>
      </c>
      <c r="D41" s="4">
        <f>=MAX(E40)+1</f>
        <v>46499</v>
      </c>
      <c r="E41" s="4">
        <f>=D41+F41-1</f>
        <v>46528</v>
      </c>
      <c r="F41" s="3">
        <v>30</v>
      </c>
      <c r="G41" s="3" t="s">
        <v>16</v>
      </c>
      <c r="H41" s="3" t="s">
        <v>69</v>
      </c>
      <c r="I41" s="3" t="s">
        <v>12</v>
      </c>
    </row>
    <row r="42" spans="1:9" x14ac:dyDescent="0.25">
      <c r="A42" s="3">
        <v>41</v>
      </c>
      <c r="B42" s="3" t="s">
        <v>70</v>
      </c>
      <c r="C42" s="3" t="s">
        <v>14</v>
      </c>
      <c r="D42" s="4">
        <f>=MAX(E41)+1</f>
        <v>46529</v>
      </c>
      <c r="E42" s="4">
        <f>=D42+F42-1</f>
        <v>46535</v>
      </c>
      <c r="F42" s="3">
        <v>7</v>
      </c>
      <c r="G42" s="3" t="s">
        <v>16</v>
      </c>
      <c r="H42" s="3" t="s">
        <v>71</v>
      </c>
      <c r="I42" s="3" t="s">
        <v>12</v>
      </c>
    </row>
    <row r="43" spans="1:9" x14ac:dyDescent="0.25">
      <c r="A43" s="3">
        <v>42</v>
      </c>
      <c r="B43" s="3" t="s">
        <v>72</v>
      </c>
      <c r="C43" s="3" t="s">
        <v>73</v>
      </c>
      <c r="D43" s="4">
        <v>46418</v>
      </c>
      <c r="E43" s="4">
        <f>=D43+F43-1</f>
        <v>46418</v>
      </c>
      <c r="F43" s="3">
        <v>1</v>
      </c>
      <c r="G43" s="3" t="s">
        <v>16</v>
      </c>
      <c r="H43" s="3" t="s">
        <v>12</v>
      </c>
      <c r="I43" s="3" t="s">
        <v>12</v>
      </c>
    </row>
    <row r="44" spans="1:9" x14ac:dyDescent="0.25">
      <c r="A44" s="3">
        <v>43</v>
      </c>
      <c r="B44" s="3" t="s">
        <v>74</v>
      </c>
      <c r="C44" s="3" t="s">
        <v>10</v>
      </c>
      <c r="D44" s="4">
        <f>=MIN(D45,D46,D47)</f>
        <v>46552</v>
      </c>
      <c r="E44" s="4">
        <f>=MAX(E45,E46,E47)</f>
        <v>46599</v>
      </c>
      <c r="F44" s="3">
        <v>48</v>
      </c>
      <c r="G44" s="3" t="s">
        <v>16</v>
      </c>
      <c r="H44" s="3" t="s">
        <v>12</v>
      </c>
      <c r="I44" s="3" t="s">
        <v>12</v>
      </c>
    </row>
    <row r="45" spans="1:9" x14ac:dyDescent="0.25">
      <c r="A45" s="3">
        <v>44</v>
      </c>
      <c r="B45" s="3" t="s">
        <v>75</v>
      </c>
      <c r="C45" s="3" t="s">
        <v>14</v>
      </c>
      <c r="D45" s="4">
        <f>=MAX(E37)+1</f>
        <v>46552</v>
      </c>
      <c r="E45" s="4">
        <f>=D45+F45-1</f>
        <v>46571</v>
      </c>
      <c r="F45" s="3">
        <v>20</v>
      </c>
      <c r="G45" s="3" t="s">
        <v>16</v>
      </c>
      <c r="H45" s="3" t="s">
        <v>76</v>
      </c>
      <c r="I45" s="3" t="s">
        <v>12</v>
      </c>
    </row>
    <row r="46" spans="1:9" x14ac:dyDescent="0.25">
      <c r="A46" s="3">
        <v>45</v>
      </c>
      <c r="B46" s="3" t="s">
        <v>77</v>
      </c>
      <c r="C46" s="3" t="s">
        <v>14</v>
      </c>
      <c r="D46" s="4">
        <f>=MAX(E45)+1</f>
        <v>46572</v>
      </c>
      <c r="E46" s="4">
        <f>=D46+F46-1</f>
        <v>46585</v>
      </c>
      <c r="F46" s="3">
        <v>14</v>
      </c>
      <c r="G46" s="3" t="s">
        <v>16</v>
      </c>
      <c r="H46" s="3" t="s">
        <v>78</v>
      </c>
      <c r="I46" s="3" t="s">
        <v>12</v>
      </c>
    </row>
    <row r="47" spans="1:9" x14ac:dyDescent="0.25">
      <c r="A47" s="3">
        <v>46</v>
      </c>
      <c r="B47" s="3" t="s">
        <v>79</v>
      </c>
      <c r="C47" s="3" t="s">
        <v>14</v>
      </c>
      <c r="D47" s="4">
        <f>=MAX(E46)+1</f>
        <v>46586</v>
      </c>
      <c r="E47" s="4">
        <f>=D47+F47-1</f>
        <v>46599</v>
      </c>
      <c r="F47" s="3">
        <v>14</v>
      </c>
      <c r="G47" s="3" t="s">
        <v>16</v>
      </c>
      <c r="H47" s="3" t="s">
        <v>80</v>
      </c>
      <c r="I47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项目排期表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2026-07-22T03:08:41Z</dcterms:created>
  <dcterms:modified xsi:type="dcterms:W3CDTF">2026-07-22T03:08:41Z</dcterms:modified>
</cp:coreProperties>
</file>